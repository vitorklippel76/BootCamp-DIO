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e012d2451a29a2/Área de Trabalho/"/>
    </mc:Choice>
  </mc:AlternateContent>
  <xr:revisionPtr revIDLastSave="313" documentId="8_{C98C09A6-2604-4751-910F-B7459903A898}" xr6:coauthVersionLast="47" xr6:coauthVersionMax="47" xr10:uidLastSave="{19DE1740-947C-4DE7-8073-36641438CF53}"/>
  <bookViews>
    <workbookView xWindow="-120" yWindow="-120" windowWidth="38640" windowHeight="21120" xr2:uid="{02D50DF3-282A-4161-974B-C7455562A921}"/>
  </bookViews>
  <sheets>
    <sheet name="App" sheetId="1" r:id="rId1"/>
    <sheet name="Apoio" sheetId="2" r:id="rId2"/>
  </sheets>
  <definedNames>
    <definedName name="aporte">App!$C$19</definedName>
    <definedName name="patrimonio">App!$C$22</definedName>
    <definedName name="qrd_anos">App!$C$20</definedName>
    <definedName name="qtd_anos">App!$C$20</definedName>
    <definedName name="rendimento_carteira">App!$D$15</definedName>
    <definedName name="salario">App!$D$14</definedName>
    <definedName name="sugestao">App!$D$16</definedName>
    <definedName name="tx_mensal">App!$C$21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D38" i="1" s="1"/>
  <c r="C39" i="1"/>
  <c r="D39" i="1" s="1"/>
  <c r="C40" i="1"/>
  <c r="D40" i="1" s="1"/>
  <c r="C41" i="1"/>
  <c r="D41" i="1" s="1"/>
  <c r="C42" i="1"/>
  <c r="D42" i="1" s="1"/>
  <c r="C37" i="1"/>
  <c r="D37" i="1" s="1"/>
  <c r="L4" i="2"/>
  <c r="K4" i="2"/>
  <c r="B12" i="2"/>
  <c r="B13" i="2"/>
  <c r="B14" i="2"/>
  <c r="B15" i="2"/>
  <c r="B16" i="2"/>
  <c r="B17" i="2"/>
  <c r="B18" i="2"/>
  <c r="B19" i="2"/>
  <c r="B20" i="2"/>
  <c r="B21" i="2"/>
  <c r="B22" i="2"/>
  <c r="B11" i="2"/>
  <c r="B6" i="2"/>
  <c r="B7" i="2"/>
  <c r="B8" i="2"/>
  <c r="B9" i="2"/>
  <c r="B10" i="2"/>
  <c r="B5" i="2"/>
  <c r="C34" i="1"/>
  <c r="C22" i="1"/>
  <c r="C23" i="1" s="1"/>
  <c r="D16" i="1"/>
  <c r="C27" i="1"/>
  <c r="D27" i="1" s="1"/>
  <c r="C28" i="1"/>
  <c r="D28" i="1" s="1"/>
  <c r="C29" i="1"/>
  <c r="D29" i="1" s="1"/>
  <c r="C30" i="1"/>
  <c r="D30" i="1" s="1"/>
  <c r="C26" i="1"/>
  <c r="D26" i="1" s="1"/>
  <c r="D43" i="1" l="1"/>
</calcChain>
</file>

<file path=xl/sharedStrings.xml><?xml version="1.0" encoding="utf-8"?>
<sst xmlns="http://schemas.openxmlformats.org/spreadsheetml/2006/main" count="72" uniqueCount="35">
  <si>
    <t>Clipes Investimentos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</si>
  <si>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</si>
  <si>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</si>
  <si>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</si>
  <si>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</si>
  <si>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</si>
  <si>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</si>
  <si>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</si>
  <si>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</si>
  <si>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</si>
  <si>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</si>
  <si>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</si>
  <si>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</si>
  <si>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</si>
  <si>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</si>
  <si>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</si>
  <si>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</si>
  <si>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</si>
  <si>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</si>
  <si>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</si>
  <si>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</si>
  <si>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</si>
  <si>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</si>
  <si>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</si>
  <si>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</si>
  <si>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</si>
  <si>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</si>
  <si>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</si>
  <si>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</si>
  <si>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Moderado</t>
  </si>
  <si>
    <t>Conservador</t>
  </si>
  <si>
    <t>%</t>
  </si>
  <si>
    <t>Chave</t>
  </si>
  <si>
    <t>Sugestão de Investimento (30%)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</si>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</sst>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theme="0"/>
      <name val="Aptos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6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6"/>
      </right>
      <top/>
      <bottom style="medium">
        <color theme="0" tint="-0.24994659260841701"/>
      </bottom>
      <diagonal/>
    </border>
    <border>
      <left style="medium">
        <color theme="6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6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6"/>
      </left>
      <right style="medium">
        <color theme="0" tint="-0.24994659260841701"/>
      </right>
      <top style="medium">
        <color theme="0" tint="-0.24994659260841701"/>
      </top>
      <bottom style="medium">
        <color theme="6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6"/>
      </bottom>
      <diagonal/>
    </border>
    <border>
      <left style="medium">
        <color theme="0" tint="-0.24994659260841701"/>
      </left>
      <right style="medium">
        <color theme="6"/>
      </right>
      <top style="medium">
        <color theme="0" tint="-0.24994659260841701"/>
      </top>
      <bottom style="medium">
        <color theme="6"/>
      </bottom>
      <diagonal/>
    </border>
    <border>
      <left style="medium">
        <color theme="6"/>
      </left>
      <right/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6"/>
      </right>
      <top/>
      <bottom style="medium">
        <color theme="6"/>
      </bottom>
      <diagonal/>
    </border>
    <border>
      <left style="medium">
        <color theme="6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6"/>
      </left>
      <right/>
      <top style="medium">
        <color theme="0" tint="-0.24994659260841701"/>
      </top>
      <bottom style="medium">
        <color theme="6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6"/>
      </bottom>
      <diagonal/>
    </border>
    <border>
      <left style="thin">
        <color theme="6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66" fontId="0" fillId="4" borderId="10" xfId="0" applyNumberForma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center" vertical="center"/>
    </xf>
    <xf numFmtId="166" fontId="0" fillId="4" borderId="14" xfId="0" applyNumberFormat="1" applyFill="1" applyBorder="1" applyAlignment="1">
      <alignment horizontal="center" vertical="center"/>
    </xf>
    <xf numFmtId="166" fontId="0" fillId="4" borderId="18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0" fillId="4" borderId="21" xfId="0" applyNumberFormat="1" applyFill="1" applyBorder="1" applyAlignment="1">
      <alignment horizontal="center" vertical="center"/>
    </xf>
    <xf numFmtId="166" fontId="0" fillId="0" borderId="14" xfId="0" applyNumberForma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0" fontId="5" fillId="2" borderId="25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66" fontId="3" fillId="0" borderId="10" xfId="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10" fontId="3" fillId="0" borderId="12" xfId="0" applyNumberFormat="1" applyFont="1" applyBorder="1" applyAlignment="1">
      <alignment horizontal="center" vertical="center"/>
    </xf>
    <xf numFmtId="8" fontId="3" fillId="4" borderId="12" xfId="0" applyNumberFormat="1" applyFont="1" applyFill="1" applyBorder="1" applyAlignment="1">
      <alignment horizontal="center"/>
    </xf>
    <xf numFmtId="166" fontId="3" fillId="0" borderId="14" xfId="1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10" fontId="3" fillId="0" borderId="16" xfId="0" applyNumberFormat="1" applyFont="1" applyBorder="1" applyAlignment="1">
      <alignment horizontal="center" vertical="center"/>
    </xf>
    <xf numFmtId="8" fontId="3" fillId="4" borderId="16" xfId="0" applyNumberFormat="1" applyFont="1" applyFill="1" applyBorder="1" applyAlignment="1">
      <alignment horizontal="center"/>
    </xf>
    <xf numFmtId="8" fontId="3" fillId="4" borderId="18" xfId="0" applyNumberFormat="1" applyFont="1" applyFill="1" applyBorder="1" applyAlignment="1">
      <alignment horizontal="center"/>
    </xf>
    <xf numFmtId="8" fontId="3" fillId="4" borderId="19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2" applyFont="1"/>
    <xf numFmtId="9" fontId="0" fillId="0" borderId="0" xfId="2" applyFont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166" fontId="0" fillId="6" borderId="8" xfId="0" applyNumberFormat="1" applyFill="1" applyBorder="1" applyAlignment="1">
      <alignment horizontal="center"/>
    </xf>
    <xf numFmtId="166" fontId="0" fillId="6" borderId="6" xfId="0" applyNumberForma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9" fontId="3" fillId="6" borderId="8" xfId="0" applyNumberFormat="1" applyFont="1" applyFill="1" applyBorder="1" applyAlignment="1">
      <alignment horizontal="center"/>
    </xf>
    <xf numFmtId="166" fontId="3" fillId="6" borderId="6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66" fontId="0" fillId="7" borderId="4" xfId="0" applyNumberFormat="1" applyFill="1" applyBorder="1" applyAlignment="1">
      <alignment horizontal="right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App!$C$37:$C$42</c:f>
              <c:numCache>
                <c:formatCode>0%</c:formatCode>
                <c:ptCount val="6"/>
                <c:pt idx="0">
                  <c:v>0.32</c:v>
                </c:pt>
                <c:pt idx="1">
                  <c:v>0.3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4-4752-A6CC-8161C6083A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43</xdr:row>
      <xdr:rowOff>147637</xdr:rowOff>
    </xdr:from>
    <xdr:to>
      <xdr:col>3</xdr:col>
      <xdr:colOff>809625</xdr:colOff>
      <xdr:row>58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F2CB6-832F-FDA4-C434-F1E637DA6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5409-79E7-4445-91D0-914E231173A4}">
  <sheetPr>
    <pageSetUpPr autoPageBreaks="0"/>
  </sheetPr>
  <dimension ref="A2:V69"/>
  <sheetViews>
    <sheetView showGridLines="0" tabSelected="1" zoomScaleNormal="100" workbookViewId="0">
      <selection activeCell="E35" sqref="E35"/>
    </sheetView>
  </sheetViews>
  <sheetFormatPr defaultColWidth="0" defaultRowHeight="15" x14ac:dyDescent="0.25"/>
  <cols>
    <col min="1" max="1" width="9.140625" customWidth="1"/>
    <col min="2" max="3" width="49.28515625" customWidth="1"/>
    <col min="4" max="4" width="14.140625" customWidth="1"/>
    <col min="5" max="6" width="3.42578125" customWidth="1"/>
    <col min="7" max="7" width="3.85546875" customWidth="1"/>
    <col min="8" max="22" width="5.28515625" hidden="1" customWidth="1"/>
    <col min="23" max="16384" width="9.140625" hidden="1"/>
  </cols>
  <sheetData>
    <row r="2" spans="1:22" ht="15" customHeight="1" x14ac:dyDescent="0.25">
      <c r="A2" s="19" t="s">
        <v>0</v>
      </c>
      <c r="B2" s="20"/>
      <c r="C2" s="20"/>
      <c r="D2" s="20"/>
      <c r="E2" s="20"/>
      <c r="F2" s="20"/>
      <c r="G2" s="20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1:22" ht="15" customHeight="1" x14ac:dyDescent="0.25">
      <c r="A3" s="19"/>
      <c r="B3" s="20"/>
      <c r="C3" s="20"/>
      <c r="D3" s="20"/>
      <c r="E3" s="20"/>
      <c r="F3" s="20"/>
      <c r="G3" s="20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</row>
    <row r="4" spans="1:22" ht="15" customHeight="1" x14ac:dyDescent="0.25">
      <c r="A4" s="19"/>
      <c r="B4" s="20"/>
      <c r="C4" s="20"/>
      <c r="D4" s="20"/>
      <c r="E4" s="20"/>
      <c r="F4" s="20"/>
      <c r="G4" s="20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</row>
    <row r="5" spans="1:22" ht="15" customHeight="1" x14ac:dyDescent="0.25">
      <c r="A5" s="19"/>
      <c r="B5" s="20"/>
      <c r="C5" s="20"/>
      <c r="D5" s="20"/>
      <c r="E5" s="20"/>
      <c r="F5" s="20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</row>
    <row r="6" spans="1:22" ht="15" customHeight="1" x14ac:dyDescent="0.25">
      <c r="A6" s="19"/>
      <c r="B6" s="20"/>
      <c r="C6" s="20"/>
      <c r="D6" s="20"/>
      <c r="E6" s="20"/>
      <c r="F6" s="20"/>
      <c r="G6" s="20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15" customHeight="1" x14ac:dyDescent="0.25">
      <c r="A7" s="19"/>
      <c r="B7" s="20"/>
      <c r="C7" s="20"/>
      <c r="D7" s="20"/>
      <c r="E7" s="20"/>
      <c r="F7" s="20"/>
      <c r="G7" s="20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" customHeight="1" x14ac:dyDescent="0.25">
      <c r="A8" s="19"/>
      <c r="B8" s="20"/>
      <c r="C8" s="20"/>
      <c r="D8" s="20"/>
      <c r="E8" s="20"/>
      <c r="F8" s="20"/>
      <c r="G8" s="20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15" customHeight="1" x14ac:dyDescent="0.25">
      <c r="A9" s="19"/>
      <c r="B9" s="20"/>
      <c r="C9" s="20"/>
      <c r="D9" s="20"/>
      <c r="E9" s="20"/>
      <c r="F9" s="20"/>
      <c r="G9" s="20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15" customHeight="1" x14ac:dyDescent="0.25">
      <c r="A10" s="19"/>
      <c r="B10" s="20"/>
      <c r="C10" s="20"/>
      <c r="D10" s="20"/>
      <c r="E10" s="20"/>
      <c r="F10" s="20"/>
      <c r="G10" s="20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5" customHeight="1" x14ac:dyDescent="0.25">
      <c r="A11" s="19"/>
      <c r="B11" s="20"/>
      <c r="C11" s="20"/>
      <c r="D11" s="20"/>
      <c r="E11" s="20"/>
      <c r="F11" s="20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5.75" thickBot="1" x14ac:dyDescent="0.3"/>
    <row r="13" spans="1:22" x14ac:dyDescent="0.25">
      <c r="B13" s="12" t="s">
        <v>14</v>
      </c>
      <c r="C13" s="13"/>
      <c r="D13" s="14"/>
    </row>
    <row r="14" spans="1:22" ht="15.75" thickBot="1" x14ac:dyDescent="0.3">
      <c r="B14" s="39" t="s">
        <v>16</v>
      </c>
      <c r="C14" s="40"/>
      <c r="D14" s="16">
        <v>5000</v>
      </c>
    </row>
    <row r="15" spans="1:22" ht="15.75" thickBot="1" x14ac:dyDescent="0.3">
      <c r="B15" s="41" t="s">
        <v>15</v>
      </c>
      <c r="C15" s="42"/>
      <c r="D15" s="17">
        <v>0.01</v>
      </c>
    </row>
    <row r="16" spans="1:22" ht="15.75" thickBot="1" x14ac:dyDescent="0.3">
      <c r="B16" s="43" t="s">
        <v>33</v>
      </c>
      <c r="C16" s="44"/>
      <c r="D16" s="18">
        <f>D14*30%</f>
        <v>1500</v>
      </c>
    </row>
    <row r="17" spans="1:12" ht="21.75" customHeight="1" thickBot="1" x14ac:dyDescent="0.3"/>
    <row r="18" spans="1:12" ht="28.5" customHeight="1" x14ac:dyDescent="0.25">
      <c r="B18" s="3" t="s">
        <v>1</v>
      </c>
      <c r="C18" s="7"/>
      <c r="D18" s="4"/>
    </row>
    <row r="19" spans="1:12" ht="28.5" customHeight="1" thickBot="1" x14ac:dyDescent="0.3">
      <c r="B19" s="32" t="s">
        <v>2</v>
      </c>
      <c r="C19" s="22">
        <v>750</v>
      </c>
      <c r="D19" s="26"/>
    </row>
    <row r="20" spans="1:12" ht="28.5" customHeight="1" thickBot="1" x14ac:dyDescent="0.3">
      <c r="B20" s="33" t="s">
        <v>3</v>
      </c>
      <c r="C20" s="23">
        <v>5</v>
      </c>
      <c r="D20" s="27"/>
      <c r="L20" s="1"/>
    </row>
    <row r="21" spans="1:12" ht="28.5" customHeight="1" thickBot="1" x14ac:dyDescent="0.3">
      <c r="A21" s="5">
        <v>2</v>
      </c>
      <c r="B21" s="33" t="s">
        <v>4</v>
      </c>
      <c r="C21" s="24">
        <v>1.0789999999999999E-2</v>
      </c>
      <c r="D21" s="28"/>
    </row>
    <row r="22" spans="1:12" ht="28.5" customHeight="1" thickBot="1" x14ac:dyDescent="0.3">
      <c r="A22" s="5">
        <v>5</v>
      </c>
      <c r="B22" s="34" t="s">
        <v>5</v>
      </c>
      <c r="C22" s="25">
        <f>FV(tx_mensal,qtd_anos*12,aporte)*(-1)</f>
        <v>62832.685498865736</v>
      </c>
      <c r="D22" s="29"/>
    </row>
    <row r="23" spans="1:12" ht="28.5" customHeight="1" thickBot="1" x14ac:dyDescent="0.3">
      <c r="A23" s="5">
        <v>10</v>
      </c>
      <c r="B23" s="35" t="s">
        <v>6</v>
      </c>
      <c r="C23" s="30">
        <f>C22*$D$15</f>
        <v>628.32685498865737</v>
      </c>
      <c r="D23" s="31"/>
    </row>
    <row r="24" spans="1:12" ht="21.75" customHeight="1" thickBot="1" x14ac:dyDescent="0.3">
      <c r="A24" s="5">
        <v>20</v>
      </c>
    </row>
    <row r="25" spans="1:12" ht="21.75" customHeight="1" x14ac:dyDescent="0.25">
      <c r="A25" s="5">
        <v>30</v>
      </c>
      <c r="B25" s="3" t="s">
        <v>12</v>
      </c>
      <c r="C25" s="7"/>
      <c r="D25" s="6" t="s">
        <v>13</v>
      </c>
    </row>
    <row r="26" spans="1:12" ht="15.75" thickBot="1" x14ac:dyDescent="0.3">
      <c r="B26" s="36" t="s">
        <v>7</v>
      </c>
      <c r="C26" s="8">
        <f>FV($C$21,$A21*12,$C$19)*(-1)</f>
        <v>20420.720473233912</v>
      </c>
      <c r="D26" s="10">
        <f>C26*rendimento_carteira</f>
        <v>204.20720473233914</v>
      </c>
    </row>
    <row r="27" spans="1:12" ht="15.75" thickBot="1" x14ac:dyDescent="0.3">
      <c r="B27" s="37" t="s">
        <v>8</v>
      </c>
      <c r="C27" s="9">
        <f>FV($C$21,$A22*12,$C$19)*(-1)</f>
        <v>62832.685498865736</v>
      </c>
      <c r="D27" s="10">
        <f>C27*rendimento_carteira</f>
        <v>628.32685498865737</v>
      </c>
    </row>
    <row r="28" spans="1:12" ht="15.75" thickBot="1" x14ac:dyDescent="0.3">
      <c r="B28" s="37" t="s">
        <v>9</v>
      </c>
      <c r="C28" s="9">
        <f>FV($C$21,$A23*12,$C$19)*(-1)</f>
        <v>182463.15939762915</v>
      </c>
      <c r="D28" s="10">
        <f>C28*rendimento_carteira</f>
        <v>1824.6315939762915</v>
      </c>
    </row>
    <row r="29" spans="1:12" ht="15.75" thickBot="1" x14ac:dyDescent="0.3">
      <c r="B29" s="37" t="s">
        <v>10</v>
      </c>
      <c r="C29" s="9">
        <f>FV($C$21,$A24*12,$C$19)*(-1)</f>
        <v>843898.8000728105</v>
      </c>
      <c r="D29" s="10">
        <f>C29*rendimento_carteira</f>
        <v>8438.9880007281045</v>
      </c>
    </row>
    <row r="30" spans="1:12" ht="15.75" thickBot="1" x14ac:dyDescent="0.3">
      <c r="B30" s="38" t="s">
        <v>11</v>
      </c>
      <c r="C30" s="11">
        <f>FV($C$21,$A25*12,$C$19)*(-1)</f>
        <v>3241627.2412535357</v>
      </c>
      <c r="D30" s="15">
        <f>C30*rendimento_carteira</f>
        <v>32416.27241253536</v>
      </c>
    </row>
    <row r="32" spans="1:12" ht="15.75" thickBot="1" x14ac:dyDescent="0.3"/>
    <row r="33" spans="2:4" x14ac:dyDescent="0.25">
      <c r="B33" s="51" t="s">
        <v>17</v>
      </c>
      <c r="C33" s="52" t="s">
        <v>29</v>
      </c>
      <c r="D33" s="53"/>
    </row>
    <row r="34" spans="2:4" ht="15.75" thickBot="1" x14ac:dyDescent="0.3">
      <c r="B34" s="54" t="s">
        <v>19</v>
      </c>
      <c r="C34" s="55">
        <f>aporte</f>
        <v>750</v>
      </c>
      <c r="D34" s="56"/>
    </row>
    <row r="35" spans="2:4" ht="15.75" thickBot="1" x14ac:dyDescent="0.3"/>
    <row r="36" spans="2:4" x14ac:dyDescent="0.25">
      <c r="B36" s="60" t="s">
        <v>20</v>
      </c>
      <c r="C36" s="61" t="s">
        <v>21</v>
      </c>
      <c r="D36" s="62" t="s">
        <v>22</v>
      </c>
    </row>
    <row r="37" spans="2:4" x14ac:dyDescent="0.25">
      <c r="B37" s="49" t="s">
        <v>23</v>
      </c>
      <c r="C37" s="50">
        <f>VLOOKUP($C$33&amp;"-"&amp;B37,Apoio!B:F,4,FALSE)</f>
        <v>0.32</v>
      </c>
      <c r="D37" s="63">
        <f>C37*$C$34</f>
        <v>240</v>
      </c>
    </row>
    <row r="38" spans="2:4" x14ac:dyDescent="0.25">
      <c r="B38" s="49" t="s">
        <v>24</v>
      </c>
      <c r="C38" s="50">
        <f>VLOOKUP($C$33&amp;"-"&amp;B38,Apoio!B:F,4,FALSE)</f>
        <v>0.3</v>
      </c>
      <c r="D38" s="63">
        <f t="shared" ref="D38:D42" si="0">C38*$C$34</f>
        <v>225</v>
      </c>
    </row>
    <row r="39" spans="2:4" x14ac:dyDescent="0.25">
      <c r="B39" s="49" t="s">
        <v>25</v>
      </c>
      <c r="C39" s="50">
        <f>VLOOKUP($C$33&amp;"-"&amp;B39,Apoio!B:F,4,FALSE)</f>
        <v>0.08</v>
      </c>
      <c r="D39" s="63">
        <f t="shared" si="0"/>
        <v>60</v>
      </c>
    </row>
    <row r="40" spans="2:4" x14ac:dyDescent="0.25">
      <c r="B40" s="49" t="s">
        <v>26</v>
      </c>
      <c r="C40" s="50">
        <f>VLOOKUP($C$33&amp;"-"&amp;B40,Apoio!B:F,4,FALSE)</f>
        <v>0.1</v>
      </c>
      <c r="D40" s="63">
        <f t="shared" si="0"/>
        <v>75</v>
      </c>
    </row>
    <row r="41" spans="2:4" x14ac:dyDescent="0.25">
      <c r="B41" s="49" t="s">
        <v>27</v>
      </c>
      <c r="C41" s="50">
        <f>VLOOKUP($C$33&amp;"-"&amp;B41,Apoio!B:F,4,FALSE)</f>
        <v>0.1</v>
      </c>
      <c r="D41" s="63">
        <f t="shared" si="0"/>
        <v>75</v>
      </c>
    </row>
    <row r="42" spans="2:4" x14ac:dyDescent="0.25">
      <c r="B42" s="49" t="s">
        <v>28</v>
      </c>
      <c r="C42" s="50">
        <f>VLOOKUP($C$33&amp;"-"&amp;B42,Apoio!B:F,4,FALSE)</f>
        <v>0.1</v>
      </c>
      <c r="D42" s="63">
        <f t="shared" si="0"/>
        <v>75</v>
      </c>
    </row>
    <row r="43" spans="2:4" ht="15.75" thickBot="1" x14ac:dyDescent="0.3">
      <c r="B43" s="57" t="s">
        <v>34</v>
      </c>
      <c r="C43" s="58">
        <v>1</v>
      </c>
      <c r="D43" s="59">
        <f>SUM(D37:D42)</f>
        <v>750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</sheetData>
  <mergeCells count="14">
    <mergeCell ref="C33:D33"/>
    <mergeCell ref="C34:D34"/>
    <mergeCell ref="C19:D19"/>
    <mergeCell ref="C20:D20"/>
    <mergeCell ref="C21:D21"/>
    <mergeCell ref="C22:D22"/>
    <mergeCell ref="C23:D23"/>
    <mergeCell ref="B18:D18"/>
    <mergeCell ref="A2:G11"/>
    <mergeCell ref="B25:C25"/>
    <mergeCell ref="B13:D13"/>
    <mergeCell ref="B14:C14"/>
    <mergeCell ref="B15:C15"/>
    <mergeCell ref="B16:C16"/>
  </mergeCells>
  <dataValidations disablePrompts="1" count="1">
    <dataValidation type="list" allowBlank="1" showInputMessage="1" showErrorMessage="1" sqref="C33" xr:uid="{CF94DE44-C5ED-4353-B7BD-571AF7FBF97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04DD-2BA6-49EF-848C-539116EAF033}">
  <dimension ref="B3:L22"/>
  <sheetViews>
    <sheetView workbookViewId="0">
      <selection activeCell="E11" sqref="E11:E16"/>
    </sheetView>
  </sheetViews>
  <sheetFormatPr defaultRowHeight="15" x14ac:dyDescent="0.25"/>
  <cols>
    <col min="2" max="2" width="28.42578125" bestFit="1" customWidth="1"/>
    <col min="3" max="3" width="13.140625" customWidth="1"/>
    <col min="4" max="4" width="16.140625" bestFit="1" customWidth="1"/>
    <col min="11" max="11" width="15.85546875" bestFit="1" customWidth="1"/>
  </cols>
  <sheetData>
    <row r="3" spans="2:12" x14ac:dyDescent="0.25">
      <c r="L3" t="s">
        <v>31</v>
      </c>
    </row>
    <row r="4" spans="2:12" x14ac:dyDescent="0.25">
      <c r="B4" t="s">
        <v>32</v>
      </c>
      <c r="C4" s="2" t="s">
        <v>17</v>
      </c>
      <c r="D4" s="2" t="s">
        <v>20</v>
      </c>
      <c r="E4" s="2" t="s">
        <v>31</v>
      </c>
      <c r="K4" t="str">
        <f>B12</f>
        <v>Moderado-Tijolo</v>
      </c>
      <c r="L4" s="47">
        <f>VLOOKUP($K$4,$B:$F,4,FALSE)</f>
        <v>0.3</v>
      </c>
    </row>
    <row r="5" spans="2:12" x14ac:dyDescent="0.25">
      <c r="B5" t="str">
        <f>C5&amp;"-"&amp;D5</f>
        <v>Conservador-Papel</v>
      </c>
      <c r="C5" t="s">
        <v>30</v>
      </c>
      <c r="D5" s="2" t="s">
        <v>23</v>
      </c>
      <c r="E5" s="48">
        <v>0.3</v>
      </c>
      <c r="F5" s="45">
        <v>225</v>
      </c>
    </row>
    <row r="6" spans="2:12" x14ac:dyDescent="0.25">
      <c r="B6" t="str">
        <f t="shared" ref="B6:B22" si="0">C6&amp;"-"&amp;D6</f>
        <v>Conservador-Tijolo</v>
      </c>
      <c r="C6" t="s">
        <v>30</v>
      </c>
      <c r="D6" s="2" t="s">
        <v>24</v>
      </c>
      <c r="E6" s="48">
        <v>0.5</v>
      </c>
      <c r="F6" s="45">
        <v>375</v>
      </c>
    </row>
    <row r="7" spans="2:12" x14ac:dyDescent="0.25">
      <c r="B7" t="str">
        <f t="shared" si="0"/>
        <v>Conservador-Híbridos</v>
      </c>
      <c r="C7" t="s">
        <v>30</v>
      </c>
      <c r="D7" s="2" t="s">
        <v>25</v>
      </c>
      <c r="E7" s="48">
        <v>0.1</v>
      </c>
      <c r="F7" s="45">
        <v>75</v>
      </c>
    </row>
    <row r="8" spans="2:12" x14ac:dyDescent="0.25">
      <c r="B8" t="str">
        <f t="shared" si="0"/>
        <v>Conservador-FOFs</v>
      </c>
      <c r="C8" t="s">
        <v>30</v>
      </c>
      <c r="D8" s="2" t="s">
        <v>26</v>
      </c>
      <c r="E8" s="48">
        <v>0.1</v>
      </c>
      <c r="F8" s="45">
        <v>75</v>
      </c>
    </row>
    <row r="9" spans="2:12" x14ac:dyDescent="0.25">
      <c r="B9" t="str">
        <f t="shared" si="0"/>
        <v>Conservador-Desenvolvimento</v>
      </c>
      <c r="C9" t="s">
        <v>30</v>
      </c>
      <c r="D9" s="2" t="s">
        <v>27</v>
      </c>
      <c r="E9" s="48">
        <v>0</v>
      </c>
      <c r="F9" s="45">
        <v>0</v>
      </c>
    </row>
    <row r="10" spans="2:12" x14ac:dyDescent="0.25">
      <c r="B10" t="str">
        <f t="shared" si="0"/>
        <v>Conservador-Hotelarias</v>
      </c>
      <c r="C10" t="s">
        <v>30</v>
      </c>
      <c r="D10" s="2" t="s">
        <v>28</v>
      </c>
      <c r="E10" s="48">
        <v>0</v>
      </c>
      <c r="F10" s="45">
        <v>0</v>
      </c>
    </row>
    <row r="11" spans="2:12" x14ac:dyDescent="0.25">
      <c r="B11" t="str">
        <f t="shared" si="0"/>
        <v>Moderado-Papel</v>
      </c>
      <c r="C11" t="s">
        <v>29</v>
      </c>
      <c r="D11" s="2" t="s">
        <v>23</v>
      </c>
      <c r="E11" s="46">
        <v>0.32</v>
      </c>
    </row>
    <row r="12" spans="2:12" x14ac:dyDescent="0.25">
      <c r="B12" t="str">
        <f t="shared" si="0"/>
        <v>Moderado-Tijolo</v>
      </c>
      <c r="C12" t="s">
        <v>29</v>
      </c>
      <c r="D12" s="2" t="s">
        <v>24</v>
      </c>
      <c r="E12" s="46">
        <v>0.3</v>
      </c>
    </row>
    <row r="13" spans="2:12" x14ac:dyDescent="0.25">
      <c r="B13" t="str">
        <f t="shared" si="0"/>
        <v>Moderado-Híbridos</v>
      </c>
      <c r="C13" t="s">
        <v>29</v>
      </c>
      <c r="D13" s="2" t="s">
        <v>25</v>
      </c>
      <c r="E13" s="46">
        <v>0.08</v>
      </c>
    </row>
    <row r="14" spans="2:12" x14ac:dyDescent="0.25">
      <c r="B14" t="str">
        <f t="shared" si="0"/>
        <v>Moderado-FOFs</v>
      </c>
      <c r="C14" t="s">
        <v>29</v>
      </c>
      <c r="D14" s="2" t="s">
        <v>26</v>
      </c>
      <c r="E14" s="46">
        <v>0.1</v>
      </c>
    </row>
    <row r="15" spans="2:12" x14ac:dyDescent="0.25">
      <c r="B15" t="str">
        <f t="shared" si="0"/>
        <v>Moderado-Desenvolvimento</v>
      </c>
      <c r="C15" t="s">
        <v>29</v>
      </c>
      <c r="D15" s="2" t="s">
        <v>27</v>
      </c>
      <c r="E15" s="46">
        <v>0.1</v>
      </c>
    </row>
    <row r="16" spans="2:12" x14ac:dyDescent="0.25">
      <c r="B16" t="str">
        <f t="shared" si="0"/>
        <v>Moderado-Hotelarias</v>
      </c>
      <c r="C16" t="s">
        <v>29</v>
      </c>
      <c r="D16" s="2" t="s">
        <v>28</v>
      </c>
      <c r="E16" s="46">
        <v>0.1</v>
      </c>
    </row>
    <row r="17" spans="2:5" x14ac:dyDescent="0.25">
      <c r="B17" t="str">
        <f t="shared" si="0"/>
        <v>Agressivo-Papel</v>
      </c>
      <c r="C17" t="s">
        <v>18</v>
      </c>
      <c r="D17" s="2" t="s">
        <v>23</v>
      </c>
      <c r="E17" s="46">
        <v>0.5</v>
      </c>
    </row>
    <row r="18" spans="2:5" x14ac:dyDescent="0.25">
      <c r="B18" t="str">
        <f t="shared" si="0"/>
        <v>Agressivo-Tijolo</v>
      </c>
      <c r="C18" t="s">
        <v>18</v>
      </c>
      <c r="D18" s="2" t="s">
        <v>24</v>
      </c>
      <c r="E18" s="46">
        <v>0.2</v>
      </c>
    </row>
    <row r="19" spans="2:5" x14ac:dyDescent="0.25">
      <c r="B19" t="str">
        <f t="shared" si="0"/>
        <v>Agressivo-Híbridos</v>
      </c>
      <c r="C19" t="s">
        <v>18</v>
      </c>
      <c r="D19" s="2" t="s">
        <v>25</v>
      </c>
      <c r="E19" s="46">
        <v>0.05</v>
      </c>
    </row>
    <row r="20" spans="2:5" x14ac:dyDescent="0.25">
      <c r="B20" t="str">
        <f t="shared" si="0"/>
        <v>Agressivo-FOFs</v>
      </c>
      <c r="C20" t="s">
        <v>18</v>
      </c>
      <c r="D20" s="2" t="s">
        <v>26</v>
      </c>
      <c r="E20" s="46">
        <v>0.05</v>
      </c>
    </row>
    <row r="21" spans="2:5" x14ac:dyDescent="0.25">
      <c r="B21" t="str">
        <f t="shared" si="0"/>
        <v>Agressivo-Desenvolvimento</v>
      </c>
      <c r="C21" t="s">
        <v>18</v>
      </c>
      <c r="D21" s="2" t="s">
        <v>27</v>
      </c>
      <c r="E21" s="46">
        <v>0.1</v>
      </c>
    </row>
    <row r="22" spans="2:5" x14ac:dyDescent="0.25">
      <c r="B22" t="str">
        <f t="shared" si="0"/>
        <v>Agressivo-Hotelarias</v>
      </c>
      <c r="C22" t="s">
        <v>18</v>
      </c>
      <c r="D22" s="2" t="s">
        <v>28</v>
      </c>
      <c r="E22" s="4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App</vt:lpstr>
      <vt:lpstr>Apoio</vt:lpstr>
      <vt:lpstr>aporte</vt:lpstr>
      <vt:lpstr>patrimonio</vt:lpstr>
      <vt:lpstr>qrd_anos</vt:lpstr>
      <vt:lpstr>qtd_anos</vt:lpstr>
      <vt:lpstr>rendimento_carteira</vt:lpstr>
      <vt:lpstr>salario</vt:lpstr>
      <vt:lpstr>sugestao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klippel</dc:creator>
  <cp:lastModifiedBy>vitor klippel</cp:lastModifiedBy>
  <cp:lastPrinted>2026-01-13T20:54:30Z</cp:lastPrinted>
  <dcterms:created xsi:type="dcterms:W3CDTF">2026-01-13T20:05:27Z</dcterms:created>
  <dcterms:modified xsi:type="dcterms:W3CDTF">2026-01-13T21:31:00Z</dcterms:modified>
</cp:coreProperties>
</file>